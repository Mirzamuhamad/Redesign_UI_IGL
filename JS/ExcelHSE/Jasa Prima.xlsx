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15120" windowHeight="7935" activeTab="1"/>
  </bookViews>
  <sheets>
    <sheet name="Jurnal Umum" sheetId="1" r:id="rId1"/>
    <sheet name="Buku Besar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H61" i="2" l="1"/>
  <c r="H35" i="2"/>
  <c r="H36" i="2" s="1"/>
  <c r="G22" i="2"/>
  <c r="G6" i="2"/>
  <c r="G7" i="2" s="1"/>
  <c r="G8" i="2" s="1"/>
  <c r="G9" i="2" s="1"/>
  <c r="G10" i="2" s="1"/>
  <c r="G11" i="2" s="1"/>
  <c r="G12" i="2" s="1"/>
  <c r="G13" i="2" s="1"/>
  <c r="G14" i="2" s="1"/>
  <c r="G15" i="2" s="1"/>
</calcChain>
</file>

<file path=xl/sharedStrings.xml><?xml version="1.0" encoding="utf-8"?>
<sst xmlns="http://schemas.openxmlformats.org/spreadsheetml/2006/main" count="179" uniqueCount="64">
  <si>
    <t>Kas</t>
  </si>
  <si>
    <t>Tanggal</t>
  </si>
  <si>
    <t>Jurnal PD Primajasa bulan Desember</t>
  </si>
  <si>
    <t>Reff</t>
  </si>
  <si>
    <t>D</t>
  </si>
  <si>
    <t>K</t>
  </si>
  <si>
    <t>Modal</t>
  </si>
  <si>
    <t>Beban sewa Ruang</t>
  </si>
  <si>
    <t>Perlengkapan Kantor</t>
  </si>
  <si>
    <t>Peralatan Kantor</t>
  </si>
  <si>
    <t>kas</t>
  </si>
  <si>
    <t>perlengkapan</t>
  </si>
  <si>
    <t>Beban listrik,air,telp</t>
  </si>
  <si>
    <t>Pendapatan Jasa Konsultan</t>
  </si>
  <si>
    <t>beban gaji</t>
  </si>
  <si>
    <t>Prive</t>
  </si>
  <si>
    <t>Desember</t>
  </si>
  <si>
    <t>Keterangan</t>
  </si>
  <si>
    <t>Kredit</t>
  </si>
  <si>
    <t>Saldo</t>
  </si>
  <si>
    <t>Mencatat Modal</t>
  </si>
  <si>
    <t>pinjaman Bank</t>
  </si>
  <si>
    <t>utang bank</t>
  </si>
  <si>
    <t>membayar beban listrik air telp</t>
  </si>
  <si>
    <t>Pendapatan jasa konsultan</t>
  </si>
  <si>
    <t>membayar gaji</t>
  </si>
  <si>
    <t>prive</t>
  </si>
  <si>
    <t>Perlengkapan</t>
  </si>
  <si>
    <t>Membeli peralatan kantor</t>
  </si>
  <si>
    <t>Membayar Sewa Ruang</t>
  </si>
  <si>
    <t>Membeli perlengkapan</t>
  </si>
  <si>
    <t>Peralatan</t>
  </si>
  <si>
    <t>Membeli Peralatan kantor</t>
  </si>
  <si>
    <t>Utang</t>
  </si>
  <si>
    <t>Membeli Peralatan Kantor</t>
  </si>
  <si>
    <t>Membeli Perlengkapan Kantor</t>
  </si>
  <si>
    <t>Membayar Hutang Peralatan Kantor</t>
  </si>
  <si>
    <t>Utang Bank</t>
  </si>
  <si>
    <t>Hutang Bank</t>
  </si>
  <si>
    <t>Pendapatan Jasa konsultan</t>
  </si>
  <si>
    <t>Pendapatan Jasa</t>
  </si>
  <si>
    <t>Beban Gaji</t>
  </si>
  <si>
    <t>Membayar gaji</t>
  </si>
  <si>
    <t>Beban Listrik Air Telp</t>
  </si>
  <si>
    <t>Membayar Beban Listrik Air Telp</t>
  </si>
  <si>
    <t>Beban Sewa</t>
  </si>
  <si>
    <t>Membayar Sewa Ruangan</t>
  </si>
  <si>
    <t>Debit</t>
  </si>
  <si>
    <t>No. transaksi</t>
  </si>
  <si>
    <t>001</t>
  </si>
  <si>
    <t>002</t>
  </si>
  <si>
    <t>003</t>
  </si>
  <si>
    <t>004</t>
  </si>
  <si>
    <t>005</t>
  </si>
  <si>
    <t>007</t>
  </si>
  <si>
    <t>006</t>
  </si>
  <si>
    <t>008</t>
  </si>
  <si>
    <t>009</t>
  </si>
  <si>
    <t>Wesel Bayar</t>
  </si>
  <si>
    <t>Wesel bayar</t>
  </si>
  <si>
    <t>Membayar wesel peralatan</t>
  </si>
  <si>
    <t>010</t>
  </si>
  <si>
    <t>011</t>
  </si>
  <si>
    <t>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</si>
</sst>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0" xfId="0" quotePrefix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zoomScale="110" zoomScaleNormal="110" workbookViewId="0">
      <selection activeCell="D17" sqref="D17:F17"/>
    </sheetView>
  </sheetViews>
  <sheetFormatPr defaultRowHeight="15" x14ac:dyDescent="0.25"/>
  <cols>
    <col min="1" max="1" width="11.140625" customWidth="1"/>
    <col min="3" max="3" width="13.140625" customWidth="1"/>
    <col min="4" max="4" width="25.28515625" bestFit="1" customWidth="1"/>
    <col min="6" max="7" width="9.85546875" bestFit="1" customWidth="1"/>
  </cols>
  <sheetData>
    <row r="1" spans="1:7" x14ac:dyDescent="0.25">
      <c r="B1" s="10" t="s">
        <v>2</v>
      </c>
      <c r="C1" s="10"/>
      <c r="D1" s="10"/>
      <c r="E1" s="10"/>
      <c r="F1" s="10"/>
    </row>
    <row r="3" spans="1:7" x14ac:dyDescent="0.25">
      <c r="A3" s="10" t="s">
        <v>1</v>
      </c>
      <c r="B3" s="10"/>
      <c r="C3" s="7" t="s">
        <v>48</v>
      </c>
      <c r="D3" t="s">
        <v>17</v>
      </c>
      <c r="E3" t="s">
        <v>3</v>
      </c>
      <c r="F3" t="s">
        <v>4</v>
      </c>
      <c r="G3" t="s">
        <v>5</v>
      </c>
    </row>
    <row r="4" spans="1:7" x14ac:dyDescent="0.25">
      <c r="A4" t="s">
        <v>16</v>
      </c>
      <c r="B4">
        <v>3</v>
      </c>
      <c r="C4" s="20" t="s">
        <v>49</v>
      </c>
      <c r="D4" t="s">
        <v>0</v>
      </c>
      <c r="E4">
        <v>101</v>
      </c>
      <c r="F4">
        <v>50000000</v>
      </c>
    </row>
    <row r="5" spans="1:7" x14ac:dyDescent="0.25">
      <c r="D5" t="s">
        <v>6</v>
      </c>
      <c r="E5">
        <v>301</v>
      </c>
      <c r="G5">
        <v>50000000</v>
      </c>
    </row>
    <row r="7" spans="1:7" x14ac:dyDescent="0.25">
      <c r="B7">
        <v>4</v>
      </c>
      <c r="C7" s="21" t="s">
        <v>50</v>
      </c>
      <c r="D7" t="s">
        <v>7</v>
      </c>
      <c r="E7">
        <v>503</v>
      </c>
      <c r="F7">
        <v>2000000</v>
      </c>
    </row>
    <row r="8" spans="1:7" x14ac:dyDescent="0.25">
      <c r="D8" t="s">
        <v>10</v>
      </c>
      <c r="E8">
        <v>101</v>
      </c>
      <c r="G8">
        <v>2000000</v>
      </c>
    </row>
    <row r="10" spans="1:7" x14ac:dyDescent="0.25">
      <c r="B10">
        <v>5</v>
      </c>
      <c r="C10" s="21" t="s">
        <v>51</v>
      </c>
      <c r="D10" t="s">
        <v>8</v>
      </c>
      <c r="E10">
        <v>102</v>
      </c>
      <c r="F10">
        <v>5500000</v>
      </c>
    </row>
    <row r="11" spans="1:7" x14ac:dyDescent="0.25">
      <c r="D11" t="s">
        <v>33</v>
      </c>
      <c r="E11">
        <v>201</v>
      </c>
      <c r="G11">
        <v>5500000</v>
      </c>
    </row>
    <row r="13" spans="1:7" x14ac:dyDescent="0.25">
      <c r="B13">
        <v>6</v>
      </c>
      <c r="C13" s="21" t="s">
        <v>52</v>
      </c>
      <c r="D13" t="s">
        <v>9</v>
      </c>
      <c r="E13">
        <v>103</v>
      </c>
      <c r="F13">
        <v>15500000</v>
      </c>
    </row>
    <row r="14" spans="1:7" x14ac:dyDescent="0.25">
      <c r="D14" t="s">
        <v>10</v>
      </c>
      <c r="E14">
        <v>101</v>
      </c>
      <c r="G14">
        <v>3000000</v>
      </c>
    </row>
    <row r="15" spans="1:7" x14ac:dyDescent="0.25">
      <c r="D15" t="s">
        <v>58</v>
      </c>
      <c r="E15">
        <v>203</v>
      </c>
      <c r="G15">
        <v>12500000</v>
      </c>
    </row>
    <row r="17" spans="2:7" x14ac:dyDescent="0.25">
      <c r="B17">
        <v>7</v>
      </c>
      <c r="C17" s="21" t="s">
        <v>53</v>
      </c>
      <c r="D17" t="s">
        <v>11</v>
      </c>
      <c r="E17">
        <v>102</v>
      </c>
      <c r="F17">
        <v>2500000</v>
      </c>
    </row>
    <row r="18" spans="2:7" x14ac:dyDescent="0.25">
      <c r="D18" t="s">
        <v>10</v>
      </c>
      <c r="E18">
        <v>101</v>
      </c>
      <c r="G18">
        <v>2500000</v>
      </c>
    </row>
    <row r="20" spans="2:7" x14ac:dyDescent="0.25">
      <c r="B20">
        <v>10</v>
      </c>
      <c r="C20" s="21" t="s">
        <v>55</v>
      </c>
      <c r="D20" t="s">
        <v>10</v>
      </c>
      <c r="E20">
        <v>101</v>
      </c>
      <c r="F20">
        <v>70000000</v>
      </c>
    </row>
    <row r="21" spans="2:7" x14ac:dyDescent="0.25">
      <c r="D21" t="s">
        <v>22</v>
      </c>
      <c r="E21">
        <v>202</v>
      </c>
      <c r="G21">
        <v>70000000</v>
      </c>
    </row>
    <row r="23" spans="2:7" x14ac:dyDescent="0.25">
      <c r="B23">
        <v>12</v>
      </c>
      <c r="C23" s="21" t="s">
        <v>54</v>
      </c>
      <c r="D23" t="s">
        <v>12</v>
      </c>
      <c r="E23">
        <v>502</v>
      </c>
      <c r="F23">
        <v>350000</v>
      </c>
    </row>
    <row r="24" spans="2:7" x14ac:dyDescent="0.25">
      <c r="D24" t="s">
        <v>10</v>
      </c>
      <c r="E24">
        <v>101</v>
      </c>
      <c r="G24">
        <v>350000</v>
      </c>
    </row>
    <row r="26" spans="2:7" x14ac:dyDescent="0.25">
      <c r="B26">
        <v>14</v>
      </c>
      <c r="C26" s="21" t="s">
        <v>56</v>
      </c>
      <c r="D26" t="s">
        <v>10</v>
      </c>
      <c r="E26">
        <v>101</v>
      </c>
      <c r="F26">
        <v>28900000</v>
      </c>
    </row>
    <row r="27" spans="2:7" x14ac:dyDescent="0.25">
      <c r="D27" t="s">
        <v>13</v>
      </c>
      <c r="E27">
        <v>401</v>
      </c>
      <c r="G27">
        <v>28900000</v>
      </c>
    </row>
    <row r="29" spans="2:7" x14ac:dyDescent="0.25">
      <c r="B29">
        <v>17</v>
      </c>
      <c r="C29" s="21" t="s">
        <v>57</v>
      </c>
      <c r="D29" t="s">
        <v>14</v>
      </c>
      <c r="E29">
        <v>501</v>
      </c>
      <c r="F29">
        <v>4650000</v>
      </c>
    </row>
    <row r="30" spans="2:7" x14ac:dyDescent="0.25">
      <c r="D30" t="s">
        <v>10</v>
      </c>
      <c r="E30">
        <v>101</v>
      </c>
      <c r="G30">
        <v>4650000</v>
      </c>
    </row>
    <row r="32" spans="2:7" x14ac:dyDescent="0.25">
      <c r="B32">
        <v>20</v>
      </c>
      <c r="C32" s="21" t="s">
        <v>61</v>
      </c>
      <c r="D32" t="s">
        <v>59</v>
      </c>
      <c r="E32">
        <v>203</v>
      </c>
      <c r="F32">
        <v>1500000</v>
      </c>
    </row>
    <row r="33" spans="2:7" x14ac:dyDescent="0.25">
      <c r="D33" t="s">
        <v>0</v>
      </c>
      <c r="E33">
        <v>101</v>
      </c>
      <c r="G33">
        <v>1500000</v>
      </c>
    </row>
    <row r="35" spans="2:7" x14ac:dyDescent="0.25">
      <c r="B35">
        <v>25</v>
      </c>
      <c r="C35" s="21" t="s">
        <v>62</v>
      </c>
      <c r="D35" t="s">
        <v>15</v>
      </c>
      <c r="E35">
        <v>302</v>
      </c>
      <c r="F35">
        <v>2500000</v>
      </c>
    </row>
    <row r="36" spans="2:7" x14ac:dyDescent="0.25">
      <c r="D36" t="s">
        <v>10</v>
      </c>
      <c r="E36">
        <v>101</v>
      </c>
      <c r="G36">
        <v>2500000</v>
      </c>
    </row>
    <row r="38" spans="2:7" x14ac:dyDescent="0.25">
      <c r="B38">
        <v>28</v>
      </c>
      <c r="C38" s="21" t="s">
        <v>63</v>
      </c>
      <c r="D38" t="s">
        <v>10</v>
      </c>
      <c r="E38">
        <v>101</v>
      </c>
      <c r="F38">
        <v>11500000</v>
      </c>
    </row>
    <row r="39" spans="2:7" x14ac:dyDescent="0.25">
      <c r="D39" t="s">
        <v>13</v>
      </c>
      <c r="E39">
        <v>401</v>
      </c>
      <c r="G39">
        <v>11500000</v>
      </c>
    </row>
  </sheetData>
  <mergeCells count="2">
    <mergeCell ref="B1:F1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3"/>
  <sheetViews>
    <sheetView tabSelected="1" workbookViewId="0">
      <selection activeCell="K22" sqref="K22"/>
    </sheetView>
  </sheetViews>
  <sheetFormatPr defaultRowHeight="15" x14ac:dyDescent="0.25"/>
  <cols>
    <col min="1" max="1" width="10.42578125" customWidth="1"/>
    <col min="2" max="2" width="5.140625" customWidth="1"/>
    <col min="3" max="3" width="33" bestFit="1" customWidth="1"/>
    <col min="5" max="5" width="10.28515625" customWidth="1"/>
    <col min="7" max="7" width="10" bestFit="1" customWidth="1"/>
  </cols>
  <sheetData>
    <row r="2" spans="1:8" ht="18.75" x14ac:dyDescent="0.3">
      <c r="A2" s="2" t="s">
        <v>0</v>
      </c>
    </row>
    <row r="3" spans="1:8" x14ac:dyDescent="0.25">
      <c r="A3" s="19" t="s">
        <v>1</v>
      </c>
      <c r="B3" s="19"/>
      <c r="C3" s="19" t="s">
        <v>17</v>
      </c>
      <c r="D3" s="19" t="s">
        <v>3</v>
      </c>
      <c r="E3" s="19" t="s">
        <v>47</v>
      </c>
      <c r="F3" s="19" t="s">
        <v>18</v>
      </c>
      <c r="G3" s="19" t="s">
        <v>19</v>
      </c>
      <c r="H3" s="19"/>
    </row>
    <row r="4" spans="1:8" x14ac:dyDescent="0.25">
      <c r="A4" s="19"/>
      <c r="B4" s="19"/>
      <c r="C4" s="19"/>
      <c r="D4" s="19"/>
      <c r="E4" s="19"/>
      <c r="F4" s="19"/>
      <c r="G4" s="6" t="s">
        <v>47</v>
      </c>
      <c r="H4" s="6" t="s">
        <v>18</v>
      </c>
    </row>
    <row r="5" spans="1:8" x14ac:dyDescent="0.25">
      <c r="A5" s="3" t="s">
        <v>16</v>
      </c>
      <c r="B5" s="3">
        <v>3</v>
      </c>
      <c r="C5" s="3" t="s">
        <v>20</v>
      </c>
      <c r="D5" s="3"/>
      <c r="E5" s="3">
        <v>50000000</v>
      </c>
      <c r="F5" s="3"/>
      <c r="G5" s="3">
        <v>50000000</v>
      </c>
      <c r="H5" s="3"/>
    </row>
    <row r="6" spans="1:8" x14ac:dyDescent="0.25">
      <c r="A6" s="3"/>
      <c r="B6" s="3">
        <v>4</v>
      </c>
      <c r="C6" s="3" t="s">
        <v>29</v>
      </c>
      <c r="D6" s="3"/>
      <c r="E6" s="3"/>
      <c r="F6" s="3">
        <v>2000000</v>
      </c>
      <c r="G6" s="3">
        <f>G5-F6</f>
        <v>48000000</v>
      </c>
      <c r="H6" s="3"/>
    </row>
    <row r="7" spans="1:8" x14ac:dyDescent="0.25">
      <c r="A7" s="3"/>
      <c r="B7" s="3">
        <v>6</v>
      </c>
      <c r="C7" s="3" t="s">
        <v>28</v>
      </c>
      <c r="D7" s="3"/>
      <c r="E7" s="3"/>
      <c r="F7" s="3">
        <v>3000000</v>
      </c>
      <c r="G7" s="3">
        <f>G6-F7</f>
        <v>45000000</v>
      </c>
      <c r="H7" s="3"/>
    </row>
    <row r="8" spans="1:8" x14ac:dyDescent="0.25">
      <c r="A8" s="3"/>
      <c r="B8" s="3">
        <v>7</v>
      </c>
      <c r="C8" s="3" t="s">
        <v>11</v>
      </c>
      <c r="D8" s="3"/>
      <c r="E8" s="3"/>
      <c r="F8" s="3">
        <v>2500000</v>
      </c>
      <c r="G8" s="3">
        <f>G7-F8</f>
        <v>42500000</v>
      </c>
      <c r="H8" s="3"/>
    </row>
    <row r="9" spans="1:8" x14ac:dyDescent="0.25">
      <c r="A9" s="3"/>
      <c r="B9" s="3">
        <v>10</v>
      </c>
      <c r="C9" s="3" t="s">
        <v>21</v>
      </c>
      <c r="D9" s="3"/>
      <c r="E9" s="3">
        <v>70000000</v>
      </c>
      <c r="F9" s="3"/>
      <c r="G9" s="3">
        <f>G8+E9</f>
        <v>112500000</v>
      </c>
      <c r="H9" s="3"/>
    </row>
    <row r="10" spans="1:8" x14ac:dyDescent="0.25">
      <c r="A10" s="3"/>
      <c r="B10" s="3">
        <v>12</v>
      </c>
      <c r="C10" s="3" t="s">
        <v>23</v>
      </c>
      <c r="D10" s="3"/>
      <c r="E10" s="3"/>
      <c r="F10" s="3">
        <v>350000</v>
      </c>
      <c r="G10" s="3">
        <f>G9-F10</f>
        <v>112150000</v>
      </c>
      <c r="H10" s="3"/>
    </row>
    <row r="11" spans="1:8" x14ac:dyDescent="0.25">
      <c r="A11" s="3"/>
      <c r="B11" s="3">
        <v>14</v>
      </c>
      <c r="C11" s="3" t="s">
        <v>24</v>
      </c>
      <c r="D11" s="3"/>
      <c r="E11" s="3">
        <v>28900000</v>
      </c>
      <c r="F11" s="3"/>
      <c r="G11" s="3">
        <f>G10+E11</f>
        <v>141050000</v>
      </c>
      <c r="H11" s="3"/>
    </row>
    <row r="12" spans="1:8" x14ac:dyDescent="0.25">
      <c r="A12" s="3"/>
      <c r="B12" s="3">
        <v>17</v>
      </c>
      <c r="C12" s="3" t="s">
        <v>25</v>
      </c>
      <c r="D12" s="3"/>
      <c r="E12" s="3"/>
      <c r="F12" s="3">
        <v>4650000</v>
      </c>
      <c r="G12" s="3">
        <f>G11-F12</f>
        <v>136400000</v>
      </c>
      <c r="H12" s="3"/>
    </row>
    <row r="13" spans="1:8" s="23" customFormat="1" x14ac:dyDescent="0.25">
      <c r="A13" s="22"/>
      <c r="B13" s="22">
        <v>20</v>
      </c>
      <c r="C13" s="22" t="s">
        <v>60</v>
      </c>
      <c r="D13" s="22"/>
      <c r="E13" s="22"/>
      <c r="F13" s="22">
        <v>1500000</v>
      </c>
      <c r="G13" s="22">
        <f>G12-F13</f>
        <v>134900000</v>
      </c>
      <c r="H13" s="22"/>
    </row>
    <row r="14" spans="1:8" x14ac:dyDescent="0.25">
      <c r="A14" s="3"/>
      <c r="B14" s="3">
        <v>25</v>
      </c>
      <c r="C14" s="3" t="s">
        <v>26</v>
      </c>
      <c r="D14" s="3"/>
      <c r="E14" s="3"/>
      <c r="F14" s="3">
        <v>2500000</v>
      </c>
      <c r="G14" s="3">
        <f>G13-F14</f>
        <v>132400000</v>
      </c>
      <c r="H14" s="3"/>
    </row>
    <row r="15" spans="1:8" x14ac:dyDescent="0.25">
      <c r="A15" s="3"/>
      <c r="B15" s="3">
        <v>26</v>
      </c>
      <c r="C15" s="3" t="s">
        <v>24</v>
      </c>
      <c r="D15" s="3"/>
      <c r="E15" s="3">
        <v>11500000</v>
      </c>
      <c r="F15" s="3"/>
      <c r="G15" s="3">
        <f>G14+E15</f>
        <v>143900000</v>
      </c>
      <c r="H15" s="3"/>
    </row>
    <row r="18" spans="1:8" ht="18.75" x14ac:dyDescent="0.3">
      <c r="A18" s="2" t="s">
        <v>27</v>
      </c>
    </row>
    <row r="19" spans="1:8" x14ac:dyDescent="0.25">
      <c r="A19" s="19" t="s">
        <v>1</v>
      </c>
      <c r="B19" s="19"/>
      <c r="C19" s="19" t="s">
        <v>17</v>
      </c>
      <c r="D19" s="19" t="s">
        <v>3</v>
      </c>
      <c r="E19" s="19" t="s">
        <v>47</v>
      </c>
      <c r="F19" s="19" t="s">
        <v>18</v>
      </c>
      <c r="G19" s="19" t="s">
        <v>19</v>
      </c>
      <c r="H19" s="19"/>
    </row>
    <row r="20" spans="1:8" x14ac:dyDescent="0.25">
      <c r="A20" s="19"/>
      <c r="B20" s="19"/>
      <c r="C20" s="19"/>
      <c r="D20" s="19"/>
      <c r="E20" s="19"/>
      <c r="F20" s="19"/>
      <c r="G20" s="6" t="s">
        <v>47</v>
      </c>
      <c r="H20" s="6" t="s">
        <v>18</v>
      </c>
    </row>
    <row r="21" spans="1:8" x14ac:dyDescent="0.25">
      <c r="A21" s="3" t="s">
        <v>16</v>
      </c>
      <c r="B21" s="3">
        <v>5</v>
      </c>
      <c r="C21" s="3" t="s">
        <v>30</v>
      </c>
      <c r="D21" s="3"/>
      <c r="E21" s="3">
        <v>5500000</v>
      </c>
      <c r="F21" s="3"/>
      <c r="G21" s="3">
        <v>5500000</v>
      </c>
      <c r="H21" s="3"/>
    </row>
    <row r="22" spans="1:8" x14ac:dyDescent="0.25">
      <c r="A22" s="3"/>
      <c r="B22" s="3">
        <v>7</v>
      </c>
      <c r="C22" s="3" t="s">
        <v>30</v>
      </c>
      <c r="D22" s="3"/>
      <c r="E22" s="3">
        <v>2500000</v>
      </c>
      <c r="F22" s="3"/>
      <c r="G22" s="3">
        <f>G21+E22</f>
        <v>8000000</v>
      </c>
      <c r="H22" s="3"/>
    </row>
    <row r="25" spans="1:8" ht="18.75" x14ac:dyDescent="0.3">
      <c r="A25" s="2" t="s">
        <v>31</v>
      </c>
    </row>
    <row r="26" spans="1:8" x14ac:dyDescent="0.25">
      <c r="A26" s="13" t="s">
        <v>1</v>
      </c>
      <c r="B26" s="14"/>
      <c r="C26" s="17" t="s">
        <v>17</v>
      </c>
      <c r="D26" s="17" t="s">
        <v>3</v>
      </c>
      <c r="E26" s="17" t="s">
        <v>47</v>
      </c>
      <c r="F26" s="17" t="s">
        <v>18</v>
      </c>
      <c r="G26" s="19" t="s">
        <v>19</v>
      </c>
      <c r="H26" s="19"/>
    </row>
    <row r="27" spans="1:8" x14ac:dyDescent="0.25">
      <c r="A27" s="15"/>
      <c r="B27" s="16"/>
      <c r="C27" s="18"/>
      <c r="D27" s="18"/>
      <c r="E27" s="18"/>
      <c r="F27" s="18"/>
      <c r="G27" s="6" t="s">
        <v>47</v>
      </c>
      <c r="H27" s="6" t="s">
        <v>18</v>
      </c>
    </row>
    <row r="28" spans="1:8" x14ac:dyDescent="0.25">
      <c r="A28" s="3" t="s">
        <v>16</v>
      </c>
      <c r="B28" s="3">
        <v>6</v>
      </c>
      <c r="C28" s="3" t="s">
        <v>32</v>
      </c>
      <c r="D28" s="3"/>
      <c r="E28" s="3">
        <v>15500000</v>
      </c>
      <c r="F28" s="3"/>
      <c r="G28" s="3">
        <v>15500000</v>
      </c>
      <c r="H28" s="3"/>
    </row>
    <row r="31" spans="1:8" ht="18.75" x14ac:dyDescent="0.3">
      <c r="A31" s="2" t="s">
        <v>33</v>
      </c>
    </row>
    <row r="32" spans="1:8" x14ac:dyDescent="0.25">
      <c r="A32" s="13" t="s">
        <v>1</v>
      </c>
      <c r="B32" s="14"/>
      <c r="C32" s="17" t="s">
        <v>17</v>
      </c>
      <c r="D32" s="17" t="s">
        <v>3</v>
      </c>
      <c r="E32" s="17" t="s">
        <v>47</v>
      </c>
      <c r="F32" s="17" t="s">
        <v>18</v>
      </c>
      <c r="G32" s="19" t="s">
        <v>19</v>
      </c>
      <c r="H32" s="19"/>
    </row>
    <row r="33" spans="1:8" x14ac:dyDescent="0.25">
      <c r="A33" s="15"/>
      <c r="B33" s="16"/>
      <c r="C33" s="18"/>
      <c r="D33" s="18"/>
      <c r="E33" s="18"/>
      <c r="F33" s="18"/>
      <c r="G33" s="6" t="s">
        <v>47</v>
      </c>
      <c r="H33" s="6" t="s">
        <v>18</v>
      </c>
    </row>
    <row r="34" spans="1:8" x14ac:dyDescent="0.25">
      <c r="A34" s="3" t="s">
        <v>16</v>
      </c>
      <c r="B34" s="3">
        <v>5</v>
      </c>
      <c r="C34" s="3" t="s">
        <v>35</v>
      </c>
      <c r="D34" s="3"/>
      <c r="E34" s="3"/>
      <c r="F34" s="3">
        <v>5500000</v>
      </c>
      <c r="G34" s="3"/>
      <c r="H34" s="3">
        <v>5500000</v>
      </c>
    </row>
    <row r="35" spans="1:8" x14ac:dyDescent="0.25">
      <c r="A35" s="3"/>
      <c r="B35" s="3">
        <v>6</v>
      </c>
      <c r="C35" s="3" t="s">
        <v>34</v>
      </c>
      <c r="D35" s="3"/>
      <c r="E35" s="3"/>
      <c r="F35" s="3">
        <v>12500000</v>
      </c>
      <c r="G35" s="3"/>
      <c r="H35" s="3">
        <f>H34+F35</f>
        <v>18000000</v>
      </c>
    </row>
    <row r="36" spans="1:8" x14ac:dyDescent="0.25">
      <c r="A36" s="3"/>
      <c r="B36" s="3">
        <v>20</v>
      </c>
      <c r="C36" s="3" t="s">
        <v>36</v>
      </c>
      <c r="D36" s="3"/>
      <c r="E36" s="3">
        <v>1500000</v>
      </c>
      <c r="F36" s="3"/>
      <c r="G36" s="3"/>
      <c r="H36" s="3">
        <f>H35-E36</f>
        <v>16500000</v>
      </c>
    </row>
    <row r="39" spans="1:8" ht="18.75" x14ac:dyDescent="0.3">
      <c r="A39" s="2" t="s">
        <v>37</v>
      </c>
    </row>
    <row r="40" spans="1:8" x14ac:dyDescent="0.25">
      <c r="A40" s="13" t="s">
        <v>1</v>
      </c>
      <c r="B40" s="14"/>
      <c r="C40" s="17" t="s">
        <v>17</v>
      </c>
      <c r="D40" s="17" t="s">
        <v>3</v>
      </c>
      <c r="E40" s="17" t="s">
        <v>47</v>
      </c>
      <c r="F40" s="17" t="s">
        <v>18</v>
      </c>
      <c r="G40" s="19" t="s">
        <v>19</v>
      </c>
      <c r="H40" s="19"/>
    </row>
    <row r="41" spans="1:8" x14ac:dyDescent="0.25">
      <c r="A41" s="15"/>
      <c r="B41" s="16"/>
      <c r="C41" s="18"/>
      <c r="D41" s="18"/>
      <c r="E41" s="18"/>
      <c r="F41" s="18"/>
      <c r="G41" s="6" t="s">
        <v>47</v>
      </c>
      <c r="H41" s="6" t="s">
        <v>18</v>
      </c>
    </row>
    <row r="42" spans="1:8" x14ac:dyDescent="0.25">
      <c r="A42" s="3" t="s">
        <v>16</v>
      </c>
      <c r="B42" s="3">
        <v>10</v>
      </c>
      <c r="C42" s="3" t="s">
        <v>38</v>
      </c>
      <c r="D42" s="3"/>
      <c r="E42" s="3"/>
      <c r="F42" s="3">
        <v>70000000</v>
      </c>
      <c r="G42" s="3"/>
      <c r="H42" s="3">
        <v>70000000</v>
      </c>
    </row>
    <row r="45" spans="1:8" ht="18.75" x14ac:dyDescent="0.3">
      <c r="A45" s="2" t="s">
        <v>6</v>
      </c>
    </row>
    <row r="46" spans="1:8" x14ac:dyDescent="0.25">
      <c r="A46" s="13" t="s">
        <v>1</v>
      </c>
      <c r="B46" s="14"/>
      <c r="C46" s="17" t="s">
        <v>17</v>
      </c>
      <c r="D46" s="17" t="s">
        <v>3</v>
      </c>
      <c r="E46" s="17" t="s">
        <v>47</v>
      </c>
      <c r="F46" s="17" t="s">
        <v>18</v>
      </c>
      <c r="G46" s="6" t="s">
        <v>19</v>
      </c>
      <c r="H46" s="6"/>
    </row>
    <row r="47" spans="1:8" x14ac:dyDescent="0.25">
      <c r="A47" s="15"/>
      <c r="B47" s="16"/>
      <c r="C47" s="18"/>
      <c r="D47" s="18"/>
      <c r="E47" s="18"/>
      <c r="F47" s="18"/>
      <c r="G47" s="6" t="s">
        <v>47</v>
      </c>
      <c r="H47" s="6" t="s">
        <v>18</v>
      </c>
    </row>
    <row r="48" spans="1:8" x14ac:dyDescent="0.25">
      <c r="A48" s="3" t="s">
        <v>16</v>
      </c>
      <c r="B48" s="3">
        <v>3</v>
      </c>
      <c r="C48" s="3" t="s">
        <v>20</v>
      </c>
      <c r="D48" s="3"/>
      <c r="E48" s="3"/>
      <c r="F48" s="3">
        <v>50000000</v>
      </c>
      <c r="G48" s="3"/>
      <c r="H48" s="3">
        <v>50000000</v>
      </c>
    </row>
    <row r="51" spans="1:8" ht="18.75" x14ac:dyDescent="0.3">
      <c r="A51" s="2" t="s">
        <v>15</v>
      </c>
    </row>
    <row r="52" spans="1:8" s="7" customFormat="1" x14ac:dyDescent="0.25">
      <c r="A52" s="13" t="s">
        <v>1</v>
      </c>
      <c r="B52" s="14"/>
      <c r="C52" s="17" t="s">
        <v>17</v>
      </c>
      <c r="D52" s="8" t="s">
        <v>3</v>
      </c>
      <c r="E52" s="17" t="s">
        <v>47</v>
      </c>
      <c r="F52" s="17" t="s">
        <v>18</v>
      </c>
      <c r="G52" s="6" t="s">
        <v>19</v>
      </c>
      <c r="H52" s="6"/>
    </row>
    <row r="53" spans="1:8" s="7" customFormat="1" x14ac:dyDescent="0.25">
      <c r="A53" s="15"/>
      <c r="B53" s="16"/>
      <c r="C53" s="18"/>
      <c r="D53" s="9"/>
      <c r="E53" s="18"/>
      <c r="F53" s="18"/>
      <c r="G53" s="6" t="s">
        <v>47</v>
      </c>
      <c r="H53" s="6" t="s">
        <v>18</v>
      </c>
    </row>
    <row r="54" spans="1:8" x14ac:dyDescent="0.25">
      <c r="A54" s="3" t="s">
        <v>16</v>
      </c>
      <c r="B54" s="3">
        <v>25</v>
      </c>
      <c r="C54" s="3" t="s">
        <v>15</v>
      </c>
      <c r="D54" s="3"/>
      <c r="E54" s="3">
        <v>2500000</v>
      </c>
      <c r="F54" s="3"/>
      <c r="G54" s="3">
        <v>2500000</v>
      </c>
      <c r="H54" s="3"/>
    </row>
    <row r="57" spans="1:8" ht="18.75" x14ac:dyDescent="0.3">
      <c r="A57" s="2" t="s">
        <v>39</v>
      </c>
    </row>
    <row r="58" spans="1:8" x14ac:dyDescent="0.25">
      <c r="A58" s="13" t="s">
        <v>1</v>
      </c>
      <c r="B58" s="14"/>
      <c r="C58" s="17" t="s">
        <v>17</v>
      </c>
      <c r="D58" s="17" t="s">
        <v>3</v>
      </c>
      <c r="E58" s="17" t="s">
        <v>47</v>
      </c>
      <c r="F58" s="17" t="s">
        <v>18</v>
      </c>
      <c r="G58" s="4" t="s">
        <v>19</v>
      </c>
      <c r="H58" s="4"/>
    </row>
    <row r="59" spans="1:8" x14ac:dyDescent="0.25">
      <c r="A59" s="15"/>
      <c r="B59" s="16"/>
      <c r="C59" s="18"/>
      <c r="D59" s="18"/>
      <c r="E59" s="18"/>
      <c r="F59" s="18"/>
      <c r="G59" s="4" t="s">
        <v>47</v>
      </c>
      <c r="H59" s="4" t="s">
        <v>18</v>
      </c>
    </row>
    <row r="60" spans="1:8" x14ac:dyDescent="0.25">
      <c r="A60" s="3" t="s">
        <v>16</v>
      </c>
      <c r="B60" s="3">
        <v>14</v>
      </c>
      <c r="C60" s="3" t="s">
        <v>40</v>
      </c>
      <c r="D60" s="3"/>
      <c r="E60" s="3"/>
      <c r="F60" s="3">
        <v>28900000</v>
      </c>
      <c r="G60" s="3"/>
      <c r="H60" s="3">
        <v>28900000</v>
      </c>
    </row>
    <row r="61" spans="1:8" x14ac:dyDescent="0.25">
      <c r="A61" s="3"/>
      <c r="B61" s="3">
        <v>28</v>
      </c>
      <c r="C61" s="3" t="s">
        <v>40</v>
      </c>
      <c r="D61" s="3"/>
      <c r="E61" s="3"/>
      <c r="F61" s="3">
        <v>11500000</v>
      </c>
      <c r="G61" s="3"/>
      <c r="H61" s="3">
        <f>H60+F61</f>
        <v>40400000</v>
      </c>
    </row>
    <row r="64" spans="1:8" ht="18.75" x14ac:dyDescent="0.3">
      <c r="A64" s="2" t="s">
        <v>41</v>
      </c>
    </row>
    <row r="65" spans="1:8" x14ac:dyDescent="0.25">
      <c r="A65" s="13" t="s">
        <v>1</v>
      </c>
      <c r="B65" s="14"/>
      <c r="C65" s="17" t="s">
        <v>17</v>
      </c>
      <c r="D65" s="17" t="s">
        <v>3</v>
      </c>
      <c r="E65" s="17" t="s">
        <v>47</v>
      </c>
      <c r="F65" s="17" t="s">
        <v>18</v>
      </c>
      <c r="G65" s="11" t="s">
        <v>19</v>
      </c>
      <c r="H65" s="12"/>
    </row>
    <row r="66" spans="1:8" x14ac:dyDescent="0.25">
      <c r="A66" s="15"/>
      <c r="B66" s="16"/>
      <c r="C66" s="18"/>
      <c r="D66" s="18"/>
      <c r="E66" s="18"/>
      <c r="F66" s="18"/>
      <c r="G66" s="4" t="s">
        <v>47</v>
      </c>
      <c r="H66" s="4" t="s">
        <v>18</v>
      </c>
    </row>
    <row r="67" spans="1:8" x14ac:dyDescent="0.25">
      <c r="A67" s="3"/>
      <c r="B67" s="3">
        <v>17</v>
      </c>
      <c r="C67" s="3" t="s">
        <v>42</v>
      </c>
      <c r="D67" s="3"/>
      <c r="E67" s="3">
        <v>4650000</v>
      </c>
      <c r="F67" s="3"/>
      <c r="G67" s="3">
        <v>4650000</v>
      </c>
      <c r="H67" s="3"/>
    </row>
    <row r="70" spans="1:8" ht="18.75" x14ac:dyDescent="0.3">
      <c r="A70" s="2" t="s">
        <v>43</v>
      </c>
    </row>
    <row r="71" spans="1:8" x14ac:dyDescent="0.25">
      <c r="A71" s="13" t="s">
        <v>1</v>
      </c>
      <c r="B71" s="14"/>
      <c r="C71" s="17" t="s">
        <v>17</v>
      </c>
      <c r="D71" s="17" t="s">
        <v>3</v>
      </c>
      <c r="E71" s="17" t="s">
        <v>47</v>
      </c>
      <c r="F71" s="17" t="s">
        <v>18</v>
      </c>
      <c r="G71" s="11" t="s">
        <v>19</v>
      </c>
      <c r="H71" s="12"/>
    </row>
    <row r="72" spans="1:8" x14ac:dyDescent="0.25">
      <c r="A72" s="15"/>
      <c r="B72" s="16"/>
      <c r="C72" s="18"/>
      <c r="D72" s="18"/>
      <c r="E72" s="18"/>
      <c r="F72" s="18"/>
      <c r="G72" s="4" t="s">
        <v>47</v>
      </c>
      <c r="H72" s="4" t="s">
        <v>18</v>
      </c>
    </row>
    <row r="73" spans="1:8" x14ac:dyDescent="0.25">
      <c r="A73" s="5" t="s">
        <v>16</v>
      </c>
      <c r="B73" s="5"/>
      <c r="C73" s="5" t="s">
        <v>44</v>
      </c>
      <c r="D73" s="5"/>
      <c r="E73" s="5">
        <v>350000</v>
      </c>
      <c r="F73" s="5"/>
      <c r="G73" s="5">
        <v>350000</v>
      </c>
      <c r="H73" s="5"/>
    </row>
    <row r="76" spans="1:8" ht="18.75" x14ac:dyDescent="0.3">
      <c r="A76" s="2" t="s">
        <v>45</v>
      </c>
    </row>
    <row r="77" spans="1:8" x14ac:dyDescent="0.25">
      <c r="A77" s="13" t="s">
        <v>1</v>
      </c>
      <c r="B77" s="14"/>
      <c r="C77" s="17" t="s">
        <v>17</v>
      </c>
      <c r="D77" s="17" t="s">
        <v>3</v>
      </c>
      <c r="E77" s="17" t="s">
        <v>47</v>
      </c>
      <c r="F77" s="17" t="s">
        <v>18</v>
      </c>
      <c r="G77" s="11" t="s">
        <v>19</v>
      </c>
      <c r="H77" s="12"/>
    </row>
    <row r="78" spans="1:8" x14ac:dyDescent="0.25">
      <c r="A78" s="15"/>
      <c r="B78" s="16"/>
      <c r="C78" s="18"/>
      <c r="D78" s="18"/>
      <c r="E78" s="18"/>
      <c r="F78" s="18"/>
      <c r="G78" s="4" t="s">
        <v>47</v>
      </c>
      <c r="H78" s="4" t="s">
        <v>18</v>
      </c>
    </row>
    <row r="79" spans="1:8" x14ac:dyDescent="0.25">
      <c r="A79" s="3" t="s">
        <v>16</v>
      </c>
      <c r="B79" s="3">
        <v>4</v>
      </c>
      <c r="C79" s="3" t="s">
        <v>46</v>
      </c>
      <c r="D79" s="3"/>
      <c r="E79" s="3">
        <v>2000000</v>
      </c>
      <c r="F79" s="3"/>
      <c r="G79" s="3">
        <v>2000000</v>
      </c>
      <c r="H79" s="3"/>
    </row>
    <row r="82" spans="1:8" ht="18.75" x14ac:dyDescent="0.3">
      <c r="A82" s="2"/>
    </row>
    <row r="83" spans="1:8" x14ac:dyDescent="0.25">
      <c r="A83" s="1"/>
      <c r="B83" s="1"/>
      <c r="G83" s="1"/>
      <c r="H83" s="1"/>
    </row>
  </sheetData>
  <mergeCells count="62">
    <mergeCell ref="G3:H3"/>
    <mergeCell ref="G19:H19"/>
    <mergeCell ref="A3:B4"/>
    <mergeCell ref="C3:C4"/>
    <mergeCell ref="D3:D4"/>
    <mergeCell ref="E3:E4"/>
    <mergeCell ref="F3:F4"/>
    <mergeCell ref="G40:H40"/>
    <mergeCell ref="E26:E27"/>
    <mergeCell ref="F26:F27"/>
    <mergeCell ref="A32:B33"/>
    <mergeCell ref="C32:C33"/>
    <mergeCell ref="A26:B27"/>
    <mergeCell ref="C26:C27"/>
    <mergeCell ref="D26:D27"/>
    <mergeCell ref="G26:H26"/>
    <mergeCell ref="G32:H32"/>
    <mergeCell ref="A19:B20"/>
    <mergeCell ref="C19:C20"/>
    <mergeCell ref="D19:D20"/>
    <mergeCell ref="E19:E20"/>
    <mergeCell ref="F19:F20"/>
    <mergeCell ref="D32:D33"/>
    <mergeCell ref="E32:E33"/>
    <mergeCell ref="F32:F33"/>
    <mergeCell ref="A40:B41"/>
    <mergeCell ref="C40:C41"/>
    <mergeCell ref="D40:D41"/>
    <mergeCell ref="E40:E41"/>
    <mergeCell ref="F40:F41"/>
    <mergeCell ref="E65:E66"/>
    <mergeCell ref="F65:F66"/>
    <mergeCell ref="A46:B47"/>
    <mergeCell ref="C46:C47"/>
    <mergeCell ref="D46:D47"/>
    <mergeCell ref="E46:E47"/>
    <mergeCell ref="F46:F47"/>
    <mergeCell ref="A52:B53"/>
    <mergeCell ref="C52:C53"/>
    <mergeCell ref="E52:E53"/>
    <mergeCell ref="F52:F53"/>
    <mergeCell ref="A58:B59"/>
    <mergeCell ref="C58:C59"/>
    <mergeCell ref="D58:D59"/>
    <mergeCell ref="E58:E59"/>
    <mergeCell ref="F58:F59"/>
    <mergeCell ref="G77:H77"/>
    <mergeCell ref="G71:H71"/>
    <mergeCell ref="G65:H65"/>
    <mergeCell ref="A71:B72"/>
    <mergeCell ref="C71:C72"/>
    <mergeCell ref="D71:D72"/>
    <mergeCell ref="E71:E72"/>
    <mergeCell ref="F71:F72"/>
    <mergeCell ref="A77:B78"/>
    <mergeCell ref="C77:C78"/>
    <mergeCell ref="D77:D78"/>
    <mergeCell ref="E77:E78"/>
    <mergeCell ref="F77:F78"/>
    <mergeCell ref="A65:B66"/>
    <mergeCell ref="C65:C66"/>
    <mergeCell ref="D65:D66"/>
  </mergeCells>
  <pageMargins left="0.7" right="0.7" top="0.75" bottom="0.75" header="0.3" footer="0.3"/>
  <pageSetup orientation="portrait" r:id="rId1"/>
  <ignoredErrors>
    <ignoredError sqref="G9:G1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Jurnal Umum</vt:lpstr>
      <vt:lpstr>Buku Besar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2015-10-08T04:24:09Z</dcterms:created>
  <dcterms:modified xsi:type="dcterms:W3CDTF">2015-10-09T08:33:00Z</dcterms:modified>
</cp:coreProperties>
</file>